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a76860b5f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计算器" sheetId="1" r:id="Rcbec6c072f4b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¥&quot;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66bc66d814805" /><Relationship Type="http://schemas.openxmlformats.org/officeDocument/2006/relationships/theme" Target="/xl/theme/theme1.xml" Id="Rff5e4479209d4b97" /><Relationship Type="http://schemas.openxmlformats.org/officeDocument/2006/relationships/sharedStrings" Target="/xl/sharedStrings.xml" Id="Rb841c2ea4b584f89" /><Relationship Type="http://schemas.openxmlformats.org/officeDocument/2006/relationships/worksheet" Target="/xl/worksheets/sheet1.xml" Id="Rcbec6c072f4b47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办公自动化服务报价计算器</x:v>
      </x:c>
      <x:c r="B1" s="3" t="str">
        <x:v>办公自动化服务报价计算器</x:v>
      </x:c>
      <x:c r="C1" s="3" t="str">
        <x:v>办公自动化服务报价计算器</x:v>
      </x:c>
      <x:c r="D1" s="3" t="str">
        <x:v>办公自动化服务报价计算器</x:v>
      </x:c>
    </x:row>
    <x:row r="3" ht="26" customHeight="1">
      <x:c r="A3" s="10" t="str">
        <x:v>输入项</x:v>
      </x:c>
      <x:c r="B3" s="11" t="str">
        <x:v>值</x:v>
      </x:c>
    </x:row>
    <x:row r="4">
      <x:c r="A4" t="str">
        <x:v>预计工时</x:v>
      </x:c>
      <x:c r="B4" s="12" t="n">
        <x:v>3</x:v>
      </x:c>
    </x:row>
    <x:row r="5">
      <x:c r="A5" t="str">
        <x:v>基础时薪</x:v>
      </x:c>
      <x:c r="B5" s="12" t="n">
        <x:v>80</x:v>
      </x:c>
    </x:row>
    <x:row r="6">
      <x:c r="A6" t="str">
        <x:v>复杂度系数</x:v>
      </x:c>
      <x:c r="B6" s="12" t="n">
        <x:v>1.2</x:v>
      </x:c>
    </x:row>
    <x:row r="7">
      <x:c r="A7" t="str">
        <x:v>沟通成本系数</x:v>
      </x:c>
      <x:c r="B7" s="12" t="n">
        <x:v>1.1</x:v>
      </x:c>
    </x:row>
    <x:row r="8">
      <x:c r="A8" t="str">
        <x:v>返工/交付风险系数</x:v>
      </x:c>
      <x:c r="B8" s="12" t="n">
        <x:v>1.15</x:v>
      </x:c>
    </x:row>
    <x:row r="9">
      <x:c r="A9" t="str">
        <x:v>紧急系数</x:v>
      </x:c>
      <x:c r="B9" s="12" t="n">
        <x:v>1</x:v>
      </x:c>
    </x:row>
    <x:row r="10">
      <x:c r="A10" t="str">
        <x:v>维护预留（元）</x:v>
      </x:c>
      <x:c r="B10" s="12" t="n">
        <x:v>0</x:v>
      </x:c>
    </x:row>
    <x:row r="11">
      <x:c r="A11" t="str">
        <x:v>最低起步价</x:v>
      </x:c>
      <x:c r="B11" s="12" t="n">
        <x:v>99</x:v>
      </x:c>
    </x:row>
    <x:row r="13" ht="26" customHeight="1">
      <x:c r="A13" s="10" t="str">
        <x:v>报价结果</x:v>
      </x:c>
      <x:c r="B13" s="11" t="str">
        <x:v>金额</x:v>
      </x:c>
    </x:row>
    <x:row r="14">
      <x:c r="A14" t="str">
        <x:v>成本基准</x:v>
      </x:c>
      <x:c r="B14" s="13" t="n">
        <x:f>B4*B5</x:f>
        <x:v>240</x:v>
      </x:c>
    </x:row>
    <x:row r="15">
      <x:c r="A15" t="str">
        <x:v>最低可接受价</x:v>
      </x:c>
      <x:c r="B15" s="13" t="n">
        <x:f>MAX(B11,B14)</x:f>
        <x:v>240</x:v>
      </x:c>
    </x:row>
    <x:row r="16">
      <x:c r="A16" t="str">
        <x:v>推荐报价</x:v>
      </x:c>
      <x:c r="B16" s="13" t="n">
        <x:f>ROUNDUP(MAX(B15,B4*B5*B6*B7*B8*B9+B10),-1)</x:f>
        <x:v>370</x:v>
      </x:c>
    </x:row>
    <x:row r="18">
      <x:c r="A18" s="4" t="str">
        <x:v>使用提示</x:v>
      </x:c>
      <x:c r="B18" s="4" t="str">
        <x:v>说明</x:v>
      </x:c>
      <x:c r="C18" s="4" t="str"/>
      <x:c r="D18" s="4" t="str"/>
    </x:row>
    <x:row r="19">
      <x:c r="A19" t="str">
        <x:v>范围</x:v>
      </x:c>
      <x:c r="B19" s="14" t="str">
        <x:v>先固定输入、输出、规则和修改次数，再使用计算器。</x:v>
      </x:c>
      <x:c r="C19" s="14" t="str"/>
      <x:c r="D19" s="14" t="str"/>
    </x:row>
    <x:row r="20">
      <x:c r="A20" t="str">
        <x:v>低价单</x:v>
      </x:c>
      <x:c r="B20" s="14" t="str">
        <x:v>推荐报价低于 99 元时也要检查沟通时间，避免两天工时卖几十元。</x:v>
      </x:c>
      <x:c r="C20" s="14" t="str"/>
      <x:c r="D20" s="14" t="str"/>
    </x:row>
    <x:row r="21">
      <x:c r="A21" t="str">
        <x:v>复杂单</x:v>
      </x:c>
      <x:c r="B21" s="14" t="str">
        <x:v>信息不清时不要直接报价，先拆成付费诊断或 PoC。</x:v>
      </x:c>
      <x:c r="C21" s="14" t="str"/>
      <x:c r="D21" s="14" t="str"/>
    </x:row>
  </x:sheetData>
  <x:mergeCells>
    <x:mergeCell ref="A1:D1"/>
    <x:mergeCell ref="A18:D18"/>
    <x:mergeCell ref="B19:D19"/>
    <x:mergeCell ref="B20:D20"/>
    <x:mergeCell ref="B21:D21"/>
  </x:mergeCells>
  <x:pageMargins left="0.7" right="0.7" top="0.75" bottom="0.75" header="0.3" footer="0.3"/>
</x:worksheet>
</file>